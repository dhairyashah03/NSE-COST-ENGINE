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nse-cost-engine\reports\"/>
    </mc:Choice>
  </mc:AlternateContent>
  <xr:revisionPtr revIDLastSave="0" documentId="13_ncr:1_{446A9694-2460-4F6C-9FE9-AE6A88CF5D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BOARD" sheetId="7" r:id="rId1"/>
    <sheet name="Contract Note Validation" sheetId="1" r:id="rId2"/>
    <sheet name="Per-Trade Breakdown" sheetId="2" r:id="rId3"/>
    <sheet name="Stress Tests" sheetId="3" r:id="rId4"/>
    <sheet name="Impact vs Order Size" sheetId="4" r:id="rId5"/>
    <sheet name="Impact Cross-Stock" sheetId="5" r:id="rId6"/>
    <sheet name="Rate Schedule" sheetId="6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<sst xmlns="http://schemas.openxmlformats.org/spreadsheetml/2006/main" count="226" uniqueCount="134">
  <si>
    <t>NSE Cost Engine — Contract Note Validation Report</t>
  </si>
  <si>
    <t>Broker: Dhan | Contract Date: 2026-05-08</t>
  </si>
  <si>
    <t>Report generated: 2026-05-19 12:39:22</t>
  </si>
  <si>
    <t>Trade Details</t>
  </si>
  <si>
    <t>#</t>
  </si>
  <si>
    <t>Symbol</t>
  </si>
  <si>
    <t>Instrument</t>
  </si>
  <si>
    <t>Side</t>
  </si>
  <si>
    <t>Lot Size</t>
  </si>
  <si>
    <t>Qty (units)</t>
  </si>
  <si>
    <t>Premium (₹)</t>
  </si>
  <si>
    <t>Premium Value (₹)</t>
  </si>
  <si>
    <t>DELHIVERY</t>
  </si>
  <si>
    <t>26May2026 500 CE</t>
  </si>
  <si>
    <t>SELL</t>
  </si>
  <si>
    <t>PNBHOUSING</t>
  </si>
  <si>
    <t>26May2026 1100 CE</t>
  </si>
  <si>
    <t>BUY</t>
  </si>
  <si>
    <t>Component-wise Validation</t>
  </si>
  <si>
    <t>Cost Component</t>
  </si>
  <si>
    <t>Engine (CN rounded)</t>
  </si>
  <si>
    <t>Contract Note</t>
  </si>
  <si>
    <t>Delta (₹)</t>
  </si>
  <si>
    <t>Status</t>
  </si>
  <si>
    <t>Brokerage</t>
  </si>
  <si>
    <t>✓ Match</t>
  </si>
  <si>
    <t>NSE Transaction Charges</t>
  </si>
  <si>
    <t>SEBI Fees</t>
  </si>
  <si>
    <t>GST (IGST 18%)</t>
  </si>
  <si>
    <t>Stamp Duty</t>
  </si>
  <si>
    <t>STT</t>
  </si>
  <si>
    <t>TOTAL</t>
  </si>
  <si>
    <t>Cost Breakdown — Per Trade Leg</t>
  </si>
  <si>
    <t>Premium Value</t>
  </si>
  <si>
    <t>Exchange</t>
  </si>
  <si>
    <t>SEBI</t>
  </si>
  <si>
    <t>GST</t>
  </si>
  <si>
    <t>DP</t>
  </si>
  <si>
    <t>MTF Interest</t>
  </si>
  <si>
    <t>Total</t>
  </si>
  <si>
    <t>Stress Test Scenarios</t>
  </si>
  <si>
    <t>Scenario</t>
  </si>
  <si>
    <t>Trade Value</t>
  </si>
  <si>
    <t>Total Cost</t>
  </si>
  <si>
    <t>Penny stock ₹2, 5000 shares intraday sell</t>
  </si>
  <si>
    <t>₹1Cr RELIANCE delivery buy</t>
  </si>
  <si>
    <t>₹1Cr RELIANCE delivery sell</t>
  </si>
  <si>
    <t>Nifty 1-lot futures sell</t>
  </si>
  <si>
    <t>Nifty 10-lot options sell ₹100 prem</t>
  </si>
  <si>
    <t>Deep OTM ₹1 premium BankNifty buy</t>
  </si>
  <si>
    <t>MTF ₹25L, 30 days hold</t>
  </si>
  <si>
    <t>MTF ₹1Cr, 1 day (top slab)</t>
  </si>
  <si>
    <t>Market Impact Analysis — RELIANCE @ ₹2,500</t>
  </si>
  <si>
    <t>Daily Volatility: 0.0169 | Avg Daily Volume: 20,947,697 shares</t>
  </si>
  <si>
    <t>Square-Root Impact Model: Impact = σ × √(Q/V) × η  |  η = 0.3 (calibration constant)</t>
  </si>
  <si>
    <t>Impact at Different Order Sizes</t>
  </si>
  <si>
    <t>Order Size (shares)</t>
  </si>
  <si>
    <t>Trade Value (₹)</t>
  </si>
  <si>
    <t>Participation Rate</t>
  </si>
  <si>
    <t>Regulatory Costs (₹)</t>
  </si>
  <si>
    <t>Market Impact (₹)</t>
  </si>
  <si>
    <t>Total Cost (₹)</t>
  </si>
  <si>
    <t>Impact as % of Regulatory</t>
  </si>
  <si>
    <t>Impact as bps of Trade</t>
  </si>
  <si>
    <t>Cost Composition — 10,000 shares RELIANCE</t>
  </si>
  <si>
    <t>Component</t>
  </si>
  <si>
    <t>Amount (₹)</t>
  </si>
  <si>
    <t>Exchange + SEBI + IPFT</t>
  </si>
  <si>
    <t>Market Impact</t>
  </si>
  <si>
    <t>Market Impact Comparison — 10,000 Shares Across Stocks</t>
  </si>
  <si>
    <t>Same order size (10,000 shares), different stocks — shows how liquidity affects impact</t>
  </si>
  <si>
    <t>Stock</t>
  </si>
  <si>
    <t>Price (₹)</t>
  </si>
  <si>
    <t>Avg Daily Volume</t>
  </si>
  <si>
    <t>RELIANCE</t>
  </si>
  <si>
    <t>HDFCBANK</t>
  </si>
  <si>
    <t>TCS</t>
  </si>
  <si>
    <t>INFY</t>
  </si>
  <si>
    <t>ICICIBANK</t>
  </si>
  <si>
    <t>SBIN</t>
  </si>
  <si>
    <t>Rate Schedule — Dhan, effective Oct 2024</t>
  </si>
  <si>
    <t>STT — Securities Transaction Tax</t>
  </si>
  <si>
    <t>Segment</t>
  </si>
  <si>
    <t>Rate</t>
  </si>
  <si>
    <t>Base</t>
  </si>
  <si>
    <t>Notes</t>
  </si>
  <si>
    <t>Equity Delivery</t>
  </si>
  <si>
    <t>Both</t>
  </si>
  <si>
    <t>Finance Act 2004, amended 2024</t>
  </si>
  <si>
    <t>Equity Intraday</t>
  </si>
  <si>
    <t>Sell</t>
  </si>
  <si>
    <t>Futures</t>
  </si>
  <si>
    <t>Trade Value (Notional)</t>
  </si>
  <si>
    <t>Revised Oct 2024</t>
  </si>
  <si>
    <t>Options</t>
  </si>
  <si>
    <t>Options Exercise</t>
  </si>
  <si>
    <t>Intrinsic Value</t>
  </si>
  <si>
    <t>Exercise</t>
  </si>
  <si>
    <t>ETF Delivery</t>
  </si>
  <si>
    <t>Exchange Transaction Charges (NSE)</t>
  </si>
  <si>
    <t>Equity</t>
  </si>
  <si>
    <t>Stamp Duty (Buy Side Only)</t>
  </si>
  <si>
    <t>Buy</t>
  </si>
  <si>
    <t>Other Charges</t>
  </si>
  <si>
    <t>SEBI Turnover Fee</t>
  </si>
  <si>
    <t>Turnover</t>
  </si>
  <si>
    <t>₹10 per crore</t>
  </si>
  <si>
    <t>IPFT</t>
  </si>
  <si>
    <t>₹0.01 per crore</t>
  </si>
  <si>
    <t>Brokerage + Exch + SEBI + IPFT</t>
  </si>
  <si>
    <t>DP Charges (Dhan)</t>
  </si>
  <si>
    <t>₹12.50 flat</t>
  </si>
  <si>
    <t>Per ISIN per day</t>
  </si>
  <si>
    <t>Delivery Sell</t>
  </si>
  <si>
    <t>+18% GST</t>
  </si>
  <si>
    <t>Market Impact (Square-Root Model)</t>
  </si>
  <si>
    <t>Formula</t>
  </si>
  <si>
    <t>σ × √(Q/V) × η</t>
  </si>
  <si>
    <t>η = 0.3</t>
  </si>
  <si>
    <t>Industry standard</t>
  </si>
  <si>
    <t>σ</t>
  </si>
  <si>
    <t>Daily volatility</t>
  </si>
  <si>
    <t>Std dev of log returns</t>
  </si>
  <si>
    <t>From Dhan API</t>
  </si>
  <si>
    <t>Q</t>
  </si>
  <si>
    <t>Order quantity</t>
  </si>
  <si>
    <t>Shares in the order</t>
  </si>
  <si>
    <t>V</t>
  </si>
  <si>
    <t>Avg daily volume</t>
  </si>
  <si>
    <t>30-day mean volume</t>
  </si>
  <si>
    <t>Rounding Rules (Source: Dhan)</t>
  </si>
  <si>
    <t>• STT and Stamp Duty are rounded to the nearest rupee</t>
  </si>
  <si>
    <t>• All other charges are rounded to the nearest 2 decimals</t>
  </si>
  <si>
    <t>Daily 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</si>
</sst>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\₹#,##0.00"/>
    <numFmt numFmtId="165" formatCode="\₹#,##0.00;\(\₹#,##0.00\);&quot;-&quot;"/>
    <numFmt numFmtId="166" formatCode="0.0&quot;%&quot;"/>
    <numFmt numFmtId="167" formatCode="0.00&quot; bps&quot;"/>
    <numFmt numFmtId="169" formatCode="_ [$₹-4009]\ * #,##0.00_ ;_ [$₹-4009]\ * \-#,##0.00_ ;_ [$₹-4009]\ * &quot;-&quot;??_ ;_ @_ "/>
    <numFmt numFmtId="171" formatCode="_ * #,##0_ ;_ * \-#,##0_ ;_ * &quot;-&quot;??_ ;_ @_ "/>
    <numFmt numFmtId="173" formatCode="0.000%"/>
    <numFmt numFmtId="174" formatCode="0.0000%"/>
    <numFmt numFmtId="176" formatCode="0.000000%"/>
    <numFmt numFmtId="177" formatCode="0.0000000%"/>
    <numFmt numFmtId="181" formatCode="0.00&quot;%&quot;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2"/>
    </font>
    <font>
      <b/>
      <sz val="16"/>
      <name val="Calibri Light"/>
      <family val="2"/>
    </font>
    <font>
      <i/>
      <sz val="12"/>
      <color rgb="FF666666"/>
      <name val="Calibri Light"/>
      <family val="2"/>
    </font>
    <font>
      <i/>
      <sz val="10"/>
      <color rgb="FF666666"/>
      <name val="Calibri Light"/>
      <family val="2"/>
    </font>
    <font>
      <b/>
      <sz val="14"/>
      <color rgb="FF2F5496"/>
      <name val="Calibri Light"/>
      <family val="2"/>
    </font>
    <font>
      <b/>
      <sz val="12"/>
      <color rgb="FFFFFFFF"/>
      <name val="Calibri Light"/>
      <family val="2"/>
    </font>
    <font>
      <sz val="12"/>
      <name val="Calibri Light"/>
      <family val="2"/>
    </font>
    <font>
      <b/>
      <sz val="12"/>
      <name val="Calibri Light"/>
      <family val="2"/>
    </font>
    <font>
      <sz val="11"/>
      <color theme="1"/>
      <name val="Calibri"/>
      <family val="2"/>
      <scheme val="minor"/>
    </font>
    <font>
      <b/>
      <sz val="12"/>
      <color rgb="FF2F5496"/>
      <name val="Calibri Light"/>
      <family val="2"/>
    </font>
    <font>
      <i/>
      <sz val="12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4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0" fillId="0" borderId="0" xfId="0"/>
    <xf numFmtId="0" fontId="5" fillId="0" borderId="0" xfId="0" applyFont="1"/>
    <xf numFmtId="0" fontId="10" fillId="0" borderId="0" xfId="0" applyFont="1"/>
    <xf numFmtId="0" fontId="1" fillId="0" borderId="0" xfId="0" applyFont="1"/>
    <xf numFmtId="0" fontId="11" fillId="0" borderId="0" xfId="0" applyFont="1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/>
    <xf numFmtId="0" fontId="4" fillId="0" borderId="3" xfId="0" applyFont="1" applyBorder="1" applyAlignment="1"/>
    <xf numFmtId="0" fontId="4" fillId="0" borderId="4" xfId="0" applyFont="1" applyBorder="1" applyAlignment="1"/>
    <xf numFmtId="44" fontId="7" fillId="0" borderId="1" xfId="2" applyFont="1" applyBorder="1" applyAlignment="1">
      <alignment horizontal="center" vertical="center"/>
    </xf>
    <xf numFmtId="169" fontId="7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1" xfId="0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1" fontId="7" fillId="0" borderId="1" xfId="1" applyNumberFormat="1" applyFont="1" applyBorder="1" applyAlignment="1">
      <alignment horizontal="center" vertical="center"/>
    </xf>
    <xf numFmtId="10" fontId="7" fillId="0" borderId="1" xfId="3" applyNumberFormat="1" applyFont="1" applyBorder="1" applyAlignment="1">
      <alignment horizontal="center" vertical="center"/>
    </xf>
    <xf numFmtId="176" fontId="7" fillId="0" borderId="1" xfId="3" applyNumberFormat="1" applyFont="1" applyBorder="1" applyAlignment="1">
      <alignment horizontal="center" vertical="center"/>
    </xf>
    <xf numFmtId="181" fontId="7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/>
    <xf numFmtId="0" fontId="0" fillId="0" borderId="1" xfId="0" applyBorder="1" applyAlignment="1"/>
    <xf numFmtId="0" fontId="2" fillId="0" borderId="5" xfId="0" applyFont="1" applyBorder="1"/>
    <xf numFmtId="0" fontId="0" fillId="0" borderId="5" xfId="0" applyBorder="1"/>
    <xf numFmtId="0" fontId="3" fillId="0" borderId="1" xfId="0" applyFont="1" applyBorder="1" applyAlignment="1">
      <alignment horizontal="left"/>
    </xf>
    <xf numFmtId="173" fontId="7" fillId="0" borderId="1" xfId="0" applyNumberFormat="1" applyFont="1" applyBorder="1" applyAlignment="1">
      <alignment horizontal="center" vertical="center"/>
    </xf>
    <xf numFmtId="174" fontId="7" fillId="0" borderId="1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 sz="1200" baseline="0">
                <a:latin typeface="Calibri Light" panose="020F0302020204030204" pitchFamily="34" charset="0"/>
              </a:rPr>
              <a:t>Market Impact as % of Regulatory Costs — RELIANCE</a:t>
            </a:r>
          </a:p>
        </c:rich>
      </c:tx>
      <c:layout>
        <c:manualLayout>
          <c:xMode val="edge"/>
          <c:yMode val="edge"/>
          <c:x val="0.38848528646756991"/>
          <c:y val="7.0921985815602842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'Impact vs Order Size'!$H$9</c:f>
              <c:strCache>
                <c:ptCount val="1"/>
                <c:pt idx="0">
                  <c:v>Impact as % of Regulatory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'Impact vs Order Size'!$B$10:$B$17</c:f>
              <c:numCache>
                <c:formatCode>_ * #,##0_ ;_ * \-#,##0_ ;_ * "-"??_ ;_ @_ </c:formatCode>
                <c:ptCount val="8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f>'Impact vs Order Size'!$H$10:$H$17</c:f>
              <c:numCache>
                <c:formatCode>0.00"%"</c:formatCode>
                <c:ptCount val="8"/>
                <c:pt idx="0">
                  <c:v>6.8268931416874592</c:v>
                </c:pt>
                <c:pt idx="1">
                  <c:v>28.62611373368998</c:v>
                </c:pt>
                <c:pt idx="2">
                  <c:v>45.456548882791353</c:v>
                </c:pt>
                <c:pt idx="3">
                  <c:v>112.72158773128599</c:v>
                </c:pt>
                <c:pt idx="4">
                  <c:v>161.61408510371339</c:v>
                </c:pt>
                <c:pt idx="5">
                  <c:v>257.66955100105213</c:v>
                </c:pt>
                <c:pt idx="6">
                  <c:v>365.41758384153422</c:v>
                </c:pt>
                <c:pt idx="7">
                  <c:v>517.50122302193552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09-44F2-BDF9-A22D6AE51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rPr>
                  <a:t>Axis Title</a:t>
                </a:r>
              </a:p>
            </c:rich>
          </c:tx>
          <c:overlay val="0"/>
        </c:title>
        <c:numFmt formatCode="_ * #,##0_ ;_ * \-#,##0_ ;_ * &quot;-&quot;??_ ;_ @_ 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rPr>
                  <a:t>Axis Title</a:t>
                </a:r>
              </a:p>
            </c:rich>
          </c:tx>
          <c:overlay val="0"/>
        </c:title>
        <c:numFmt formatCode="0.00&quot;%&quot;" sourceLinked="1"/>
        <c:majorTickMark val="out"/>
        <c:minorTickMark val="none"/>
        <c:tickLblPos val="nextTo"/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defRPr>
            </a:pPr>
            <a:r>
              <a:rPr lang="en-IN" sz="1200"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rPr>
              <a:t>Market Impact vs Regulatory Costs — RELIANCE</a:t>
            </a:r>
          </a:p>
        </c:rich>
      </c:tx>
      <c:layout>
        <c:manualLayout>
          <c:xMode val="edge"/>
          <c:yMode val="edge"/>
          <c:x val="0.37163618515758506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2.9476334045604896E-3"/>
          <c:y val="7.2849376963535606E-2"/>
          <c:w val="0.9505840071877808"/>
          <c:h val="0.9252337448956109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'Impact vs Order Size'!$E$9</c:f>
              <c:strCache>
                <c:ptCount val="1"/>
                <c:pt idx="0">
                  <c:v>Regulatory Costs (₹)</c:v>
                </c:pt>
              </c:strCache>
            </c:strRef>
          </c:tx>
          <c:spPr>
            <a:solidFill>
              <a:srgbClr val="2F5496"/>
            </a:solidFill>
            <a:ln>
              <a:prstDash val="solid"/>
            </a:ln>
          </c:spPr>
          <c:invertIfNegative val="1"/>
          <c:cat>
            <c:numRef>
              <c:f>'Impact vs Order Size'!$B$10:$B$17</c:f>
              <c:numCache>
                <c:formatCode>_ * #,##0_ ;_ * \-#,##0_ ;_ * "-"??_ ;_ @_ </c:formatCode>
                <c:ptCount val="8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f>'Impact vs Order Size'!$E$10:$E$17</c:f>
              <c:numCache>
                <c:formatCode>_("₹"* #,##0.00_);_("₹"* \(#,##0.00\);_("₹"* "-"??_);_(@_)</c:formatCode>
                <c:ptCount val="8"/>
                <c:pt idx="0">
                  <c:v>40.451500000000003</c:v>
                </c:pt>
                <c:pt idx="1">
                  <c:v>107.8575</c:v>
                </c:pt>
                <c:pt idx="2">
                  <c:v>192.11500000000001</c:v>
                </c:pt>
                <c:pt idx="3">
                  <c:v>866.17499999999995</c:v>
                </c:pt>
                <c:pt idx="4">
                  <c:v>1708.75</c:v>
                </c:pt>
                <c:pt idx="5">
                  <c:v>4236.4750000000004</c:v>
                </c:pt>
                <c:pt idx="6">
                  <c:v>8449.3499999999985</c:v>
                </c:pt>
                <c:pt idx="7">
                  <c:v>16875.099999999991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2EF-4568-8F53-498D63C54943}"/>
            </c:ext>
          </c:extLst>
        </c:ser>
        <c:ser>
          <c:idx val="1"/>
          <c:order val="1"/>
          <c:tx>
            <c:strRef>
              <c:f>'Impact vs Order Size'!$F$9</c:f>
              <c:strCache>
                <c:ptCount val="1"/>
                <c:pt idx="0">
                  <c:v>Market Impact (₹)</c:v>
                </c:pt>
              </c:strCache>
            </c:strRef>
          </c:tx>
          <c:spPr>
            <a:solidFill>
              <a:srgbClr val="C00000"/>
            </a:solidFill>
            <a:ln>
              <a:prstDash val="solid"/>
            </a:ln>
          </c:spPr>
          <c:invertIfNegative val="1"/>
          <c:cat>
            <c:numRef>
              <c:f>'Impact vs Order Size'!$B$10:$B$17</c:f>
              <c:numCache>
                <c:formatCode>_ * #,##0_ ;_ * \-#,##0_ ;_ * "-"??_ ;_ @_ </c:formatCode>
                <c:ptCount val="8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f>'Impact vs Order Size'!$F$10:$F$17</c:f>
              <c:numCache>
                <c:formatCode>_("₹"* #,##0.00_);_("₹"* \(#,##0.00\);_("₹"* "-"??_);_(@_)</c:formatCode>
                <c:ptCount val="8"/>
                <c:pt idx="0">
                  <c:v>2.7615806792097022</c:v>
                </c:pt>
                <c:pt idx="1">
                  <c:v>30.875410620314671</c:v>
                </c:pt>
                <c:pt idx="2">
                  <c:v>87.328848886174598</c:v>
                </c:pt>
                <c:pt idx="3">
                  <c:v>976.36621253146609</c:v>
                </c:pt>
                <c:pt idx="4">
                  <c:v>2761.5806792097019</c:v>
                </c:pt>
                <c:pt idx="5">
                  <c:v>10916.106110771831</c:v>
                </c:pt>
                <c:pt idx="6">
                  <c:v>30875.410620314669</c:v>
                </c:pt>
                <c:pt idx="7">
                  <c:v>87328.848886174601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2EF-4568-8F53-498D63C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_ * #,##0_ ;_ * \-#,##0_ ;_ * &quot;-&quot;??_ ;_ @_ 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90000"/>
        </c:scaling>
        <c:delete val="0"/>
        <c:axPos val="l"/>
        <c:numFmt formatCode="_(&quot;₹&quot;* #,##0.00_);_(&quot;₹&quot;* \(#,##0.00\);_(&quot;₹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latin typeface="Calibri Light" panose="020F0302020204030204" pitchFamily="34" charset="0"/>
              </a:defRPr>
            </a:pPr>
            <a:endParaRPr lang="en-US"/>
          </a:p>
        </c:txPr>
        <c:crossAx val="10"/>
        <c:crosses val="autoZero"/>
        <c:crossBetween val="between"/>
        <c:majorUnit val="10000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baseline="0">
                <a:latin typeface="Calibri Light" panose="020F0302020204030204" pitchFamily="34" charset="0"/>
              </a:defRPr>
            </a:pPr>
            <a:endParaRPr lang="en-US"/>
          </a:p>
        </c:txPr>
      </c:dTable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 sz="1200"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rPr>
              <a:t>Cost Breakdown</a:t>
            </a:r>
            <a:r>
              <a:rPr lang="en-IN" sz="1200" baseline="0"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rPr>
              <a:t> - </a:t>
            </a:r>
            <a:r>
              <a:rPr lang="en-IN" sz="1200"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rPr>
              <a:t>10K shares RELIANCE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'Impact vs Order Size'!$B$22:$B$27</c:f>
              <c:strCache>
                <c:ptCount val="6"/>
                <c:pt idx="0">
                  <c:v>Brokerage</c:v>
                </c:pt>
                <c:pt idx="1">
                  <c:v>STT</c:v>
                </c:pt>
                <c:pt idx="2">
                  <c:v>Exchange + SEBI + IPFT</c:v>
                </c:pt>
                <c:pt idx="3">
                  <c:v>Stamp Duty</c:v>
                </c:pt>
                <c:pt idx="4">
                  <c:v>GST</c:v>
                </c:pt>
                <c:pt idx="5">
                  <c:v>Market Impact</c:v>
                </c:pt>
              </c:strCache>
            </c:strRef>
          </c:cat>
          <c:val>
            <c:numRef>
              <c:f>'Impact vs Order Size'!$C$22:$C$27</c:f>
              <c:numCache>
                <c:formatCode>_("₹"* #,##0.00_);_("₹"* \(#,##0.00\);_("₹"* "-"??_);_(@_)</c:formatCode>
                <c:ptCount val="6"/>
                <c:pt idx="0">
                  <c:v>20</c:v>
                </c:pt>
                <c:pt idx="1">
                  <c:v>0</c:v>
                </c:pt>
                <c:pt idx="2">
                  <c:v>792.5</c:v>
                </c:pt>
                <c:pt idx="3">
                  <c:v>750</c:v>
                </c:pt>
                <c:pt idx="4">
                  <c:v>146.25</c:v>
                </c:pt>
                <c:pt idx="5">
                  <c:v>2761.58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8C-47DC-B4AD-0024E56F032F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>
            <a:defRPr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 sz="1200"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rPr>
              <a:t>Regulatory Costs vs Market Impact — 10K Shares</a:t>
            </a:r>
          </a:p>
        </c:rich>
      </c:tx>
      <c:layout>
        <c:manualLayout>
          <c:xMode val="edge"/>
          <c:yMode val="edge"/>
          <c:x val="0.34396576694805042"/>
          <c:y val="4.4563279857397504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'Impact Cross-Stock'!$G$6</c:f>
              <c:strCache>
                <c:ptCount val="1"/>
                <c:pt idx="0">
                  <c:v>Regulatory Costs (₹)</c:v>
                </c:pt>
              </c:strCache>
            </c:strRef>
          </c:tx>
          <c:spPr>
            <a:solidFill>
              <a:srgbClr val="2F5496"/>
            </a:solidFill>
            <a:ln>
              <a:prstDash val="solid"/>
            </a:ln>
          </c:spPr>
          <c:invertIfNegative val="1"/>
          <c:cat>
            <c:strRef>
              <c:f>'Impact Cross-Stock'!$B$7:$B$12</c:f>
              <c:strCache>
                <c:ptCount val="6"/>
                <c:pt idx="0">
                  <c:v>RELIANCE</c:v>
                </c:pt>
                <c:pt idx="1">
                  <c:v>HDFCBANK</c:v>
                </c:pt>
                <c:pt idx="2">
                  <c:v>TCS</c:v>
                </c:pt>
                <c:pt idx="3">
                  <c:v>INFY</c:v>
                </c:pt>
                <c:pt idx="4">
                  <c:v>ICICIBANK</c:v>
                </c:pt>
                <c:pt idx="5">
                  <c:v>SBIN</c:v>
                </c:pt>
              </c:strCache>
            </c:strRef>
          </c:cat>
          <c:val>
            <c:numRef>
              <c:f>'Impact Cross-Stock'!$G$7:$G$12</c:f>
              <c:numCache>
                <c:formatCode>_("₹"* #,##0.00_);_("₹"* \(#,##0.00\);_("₹"* "-"??_);_(@_)</c:formatCode>
                <c:ptCount val="6"/>
                <c:pt idx="0">
                  <c:v>1708.75</c:v>
                </c:pt>
                <c:pt idx="1">
                  <c:v>1236.9079999999999</c:v>
                </c:pt>
                <c:pt idx="2">
                  <c:v>2585.0279999999998</c:v>
                </c:pt>
                <c:pt idx="3">
                  <c:v>1034.69</c:v>
                </c:pt>
                <c:pt idx="4">
                  <c:v>899.87800000000016</c:v>
                </c:pt>
                <c:pt idx="5">
                  <c:v>562.84799999999996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3CC-4ED6-A52E-6E40EDEE1405}"/>
            </c:ext>
          </c:extLst>
        </c:ser>
        <c:ser>
          <c:idx val="1"/>
          <c:order val="1"/>
          <c:tx>
            <c:strRef>
              <c:f>'Impact Cross-Stock'!$H$6</c:f>
              <c:strCache>
                <c:ptCount val="1"/>
                <c:pt idx="0">
                  <c:v>Market Impact (₹)</c:v>
                </c:pt>
              </c:strCache>
            </c:strRef>
          </c:tx>
          <c:spPr>
            <a:solidFill>
              <a:srgbClr val="C00000"/>
            </a:solidFill>
            <a:ln>
              <a:prstDash val="solid"/>
            </a:ln>
          </c:spPr>
          <c:invertIfNegative val="1"/>
          <c:cat>
            <c:strRef>
              <c:f>'Impact Cross-Stock'!$B$7:$B$12</c:f>
              <c:strCache>
                <c:ptCount val="6"/>
                <c:pt idx="0">
                  <c:v>RELIANCE</c:v>
                </c:pt>
                <c:pt idx="1">
                  <c:v>HDFCBANK</c:v>
                </c:pt>
                <c:pt idx="2">
                  <c:v>TCS</c:v>
                </c:pt>
                <c:pt idx="3">
                  <c:v>INFY</c:v>
                </c:pt>
                <c:pt idx="4">
                  <c:v>ICICIBANK</c:v>
                </c:pt>
                <c:pt idx="5">
                  <c:v>SBIN</c:v>
                </c:pt>
              </c:strCache>
            </c:strRef>
          </c:cat>
          <c:val>
            <c:numRef>
              <c:f>'Impact Cross-Stock'!$H$7:$H$12</c:f>
              <c:numCache>
                <c:formatCode>_("₹"* #,##0.00_);_("₹"* \(#,##0.00\);_("₹"* "-"??_);_(@_)</c:formatCode>
                <c:ptCount val="6"/>
                <c:pt idx="0">
                  <c:v>2761.5806792097019</c:v>
                </c:pt>
                <c:pt idx="1">
                  <c:v>1576.54213425541</c:v>
                </c:pt>
                <c:pt idx="2">
                  <c:v>10442.00760781234</c:v>
                </c:pt>
                <c:pt idx="3">
                  <c:v>2630.5867503952932</c:v>
                </c:pt>
                <c:pt idx="4">
                  <c:v>1529.5333867684089</c:v>
                </c:pt>
                <c:pt idx="5">
                  <c:v>1162.941872324215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3CC-4ED6-A52E-6E40EDEE1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_(&quot;₹&quot;* #,##0.00_);_(&quot;₹&quot;* \(#,##0.00\);_(&quot;₹&quot;* &quot;-&quot;??_);_(@_)" sourceLinked="1"/>
        <c:majorTickMark val="out"/>
        <c:minorTickMark val="none"/>
        <c:tickLblPos val="nextTo"/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 sz="1200"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rPr>
              <a:t>Market Impact as % of Regulatory — 10K Shares</a:t>
            </a:r>
          </a:p>
        </c:rich>
      </c:tx>
      <c:layout>
        <c:manualLayout>
          <c:xMode val="edge"/>
          <c:yMode val="edge"/>
          <c:x val="0.3528764538033663"/>
          <c:y val="4.4326241134751775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'Impact Cross-Stock'!$J$6</c:f>
              <c:strCache>
                <c:ptCount val="1"/>
                <c:pt idx="0">
                  <c:v>Impact as % of Regulatory</c:v>
                </c:pt>
              </c:strCache>
            </c:strRef>
          </c:tx>
          <c:spPr>
            <a:solidFill>
              <a:srgbClr val="7030A0"/>
            </a:solidFill>
            <a:ln>
              <a:prstDash val="solid"/>
            </a:ln>
          </c:spPr>
          <c:invertIfNegative val="1"/>
          <c:cat>
            <c:strRef>
              <c:f>'Impact Cross-Stock'!$B$7:$B$12</c:f>
              <c:strCache>
                <c:ptCount val="6"/>
                <c:pt idx="0">
                  <c:v>RELIANCE</c:v>
                </c:pt>
                <c:pt idx="1">
                  <c:v>HDFCBANK</c:v>
                </c:pt>
                <c:pt idx="2">
                  <c:v>TCS</c:v>
                </c:pt>
                <c:pt idx="3">
                  <c:v>INFY</c:v>
                </c:pt>
                <c:pt idx="4">
                  <c:v>ICICIBANK</c:v>
                </c:pt>
                <c:pt idx="5">
                  <c:v>SBIN</c:v>
                </c:pt>
              </c:strCache>
            </c:strRef>
          </c:cat>
          <c:val>
            <c:numRef>
              <c:f>'Impact Cross-Stock'!$J$7:$J$12</c:f>
              <c:numCache>
                <c:formatCode>0.0"%"</c:formatCode>
                <c:ptCount val="6"/>
                <c:pt idx="0">
                  <c:v>161.61408510371339</c:v>
                </c:pt>
                <c:pt idx="1">
                  <c:v>127.45831818174111</c:v>
                </c:pt>
                <c:pt idx="2">
                  <c:v>403.94176031409881</c:v>
                </c:pt>
                <c:pt idx="3">
                  <c:v>254.23911996784469</c:v>
                </c:pt>
                <c:pt idx="4">
                  <c:v>169.9711946250946</c:v>
                </c:pt>
                <c:pt idx="5">
                  <c:v>206.61739445182619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5CC-4991-8A99-F12DE0C23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rPr>
                  <a:t>Impact / Regulatory (%)</a:t>
                </a:r>
              </a:p>
            </c:rich>
          </c:tx>
          <c:overlay val="1"/>
        </c:title>
        <c:numFmt formatCode="0.0&quot;%&quot;" sourceLinked="1"/>
        <c:majorTickMark val="none"/>
        <c:minorTickMark val="none"/>
        <c:tickLblPos val="nextTo"/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legend>
      <c:legendPos val="r"/>
      <c:overlay val="0"/>
      <c:txPr>
        <a:bodyPr/>
        <a:lstStyle/>
        <a:p>
          <a:pPr>
            <a:defRPr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251460</xdr:colOff>
      <xdr:row>0</xdr:row>
      <xdr:rowOff>167640</xdr:rowOff>
    </xdr:from>
    <xdr:ext cx="6766560" cy="28651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C25451-F538-43F0-949B-25428F6674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76200</xdr:colOff>
      <xdr:row>1</xdr:row>
      <xdr:rowOff>38100</xdr:rowOff>
    </xdr:from>
    <xdr:ext cx="6682740" cy="284988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EB700B-97E1-4A24-AC2B-1B4DB9E550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91440</xdr:colOff>
      <xdr:row>17</xdr:row>
      <xdr:rowOff>121920</xdr:rowOff>
    </xdr:from>
    <xdr:ext cx="6652260" cy="287274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988A88-B13A-4039-8E5C-D6D106E54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281940</xdr:colOff>
      <xdr:row>17</xdr:row>
      <xdr:rowOff>137160</xdr:rowOff>
    </xdr:from>
    <xdr:ext cx="6766560" cy="284988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1B0D5C3-EE97-4F99-A02F-FE5C266478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114300</xdr:colOff>
      <xdr:row>34</xdr:row>
      <xdr:rowOff>91440</xdr:rowOff>
    </xdr:from>
    <xdr:ext cx="6644640" cy="286512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A93C97A-4176-4DD5-910D-A27B912C1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A88-59EB-4470-812C-EA26C15F274F}">
  <dimension ref="A1"/>
  <sheetViews>
    <sheetView showGridLines="0"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B2:I23"/>
  <sheetViews>
    <sheetView showGridLines="0" workbookViewId="0"/>
  </sheetViews>
  <sheetFormatPr defaultRowHeight="14.4" x14ac:dyDescent="0.3"/>
  <cols>
    <col min="1" max="1" width="3" customWidth="1"/>
    <col min="2" max="2" width="27.21875" customWidth="1"/>
    <col min="3" max="3" width="13.5546875" bestFit="1" customWidth="1"/>
    <col min="4" max="4" width="19.6640625" bestFit="1" customWidth="1"/>
    <col min="5" max="5" width="9.5546875" bestFit="1" customWidth="1"/>
    <col min="6" max="6" width="9" bestFit="1" customWidth="1"/>
    <col min="7" max="7" width="11.6640625" bestFit="1" customWidth="1"/>
    <col min="8" max="8" width="13.33203125" bestFit="1" customWidth="1"/>
    <col min="9" max="9" width="16.109375" bestFit="1" customWidth="1"/>
  </cols>
  <sheetData>
    <row r="2" spans="2:9" ht="21" x14ac:dyDescent="0.4">
      <c r="B2" s="19" t="s">
        <v>0</v>
      </c>
      <c r="C2" s="20"/>
      <c r="D2" s="20"/>
      <c r="E2" s="20"/>
      <c r="F2" s="20"/>
      <c r="G2" s="20"/>
      <c r="H2" s="20"/>
      <c r="I2" s="20"/>
    </row>
    <row r="3" spans="2:9" ht="15.6" x14ac:dyDescent="0.3">
      <c r="B3" s="21" t="s">
        <v>1</v>
      </c>
      <c r="C3" s="20"/>
      <c r="D3" s="20"/>
      <c r="E3" s="20"/>
      <c r="F3" s="20"/>
      <c r="G3" s="20"/>
      <c r="H3" s="20"/>
      <c r="I3" s="20"/>
    </row>
    <row r="4" spans="2:9" x14ac:dyDescent="0.3">
      <c r="B4" s="22" t="s">
        <v>2</v>
      </c>
      <c r="C4" s="23"/>
      <c r="D4" s="23"/>
      <c r="E4" s="23"/>
      <c r="F4" s="23"/>
      <c r="G4" s="23"/>
      <c r="H4" s="23"/>
      <c r="I4" s="24"/>
    </row>
    <row r="6" spans="2:9" ht="18" x14ac:dyDescent="0.35">
      <c r="B6" s="14" t="s">
        <v>3</v>
      </c>
      <c r="C6" s="13"/>
      <c r="D6" s="13"/>
      <c r="E6" s="13"/>
      <c r="F6" s="13"/>
      <c r="G6" s="13"/>
      <c r="H6" s="13"/>
      <c r="I6" s="13"/>
    </row>
    <row r="7" spans="2:9" ht="31.2" x14ac:dyDescent="0.3"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</row>
    <row r="8" spans="2:9" ht="15.6" x14ac:dyDescent="0.3">
      <c r="B8" s="2">
        <v>1</v>
      </c>
      <c r="C8" s="2" t="s">
        <v>12</v>
      </c>
      <c r="D8" s="4" t="s">
        <v>13</v>
      </c>
      <c r="E8" s="2" t="s">
        <v>14</v>
      </c>
      <c r="F8" s="2">
        <v>2075</v>
      </c>
      <c r="G8" s="2">
        <v>2075</v>
      </c>
      <c r="H8" s="3">
        <v>9</v>
      </c>
      <c r="I8" s="3">
        <v>18675</v>
      </c>
    </row>
    <row r="9" spans="2:9" ht="15.6" x14ac:dyDescent="0.3">
      <c r="B9" s="2">
        <v>2</v>
      </c>
      <c r="C9" s="2" t="s">
        <v>15</v>
      </c>
      <c r="D9" s="4" t="s">
        <v>16</v>
      </c>
      <c r="E9" s="2" t="s">
        <v>17</v>
      </c>
      <c r="F9" s="2">
        <v>650</v>
      </c>
      <c r="G9" s="2">
        <v>650</v>
      </c>
      <c r="H9" s="3">
        <v>27.5</v>
      </c>
      <c r="I9" s="3">
        <v>17875</v>
      </c>
    </row>
    <row r="11" spans="2:9" ht="18" x14ac:dyDescent="0.35">
      <c r="B11" s="14" t="s">
        <v>18</v>
      </c>
      <c r="C11" s="13"/>
      <c r="D11" s="13"/>
      <c r="E11" s="13"/>
      <c r="F11" s="13"/>
    </row>
    <row r="12" spans="2:9" ht="31.2" x14ac:dyDescent="0.3">
      <c r="B12" s="1" t="s">
        <v>19</v>
      </c>
      <c r="C12" s="1" t="s">
        <v>20</v>
      </c>
      <c r="D12" s="1" t="s">
        <v>21</v>
      </c>
      <c r="E12" s="1" t="s">
        <v>22</v>
      </c>
      <c r="F12" s="1" t="s">
        <v>23</v>
      </c>
    </row>
    <row r="13" spans="2:9" ht="15.6" x14ac:dyDescent="0.3">
      <c r="B13" s="4" t="s">
        <v>24</v>
      </c>
      <c r="C13" s="3">
        <v>40</v>
      </c>
      <c r="D13" s="3">
        <v>40</v>
      </c>
      <c r="E13" s="5">
        <v>0</v>
      </c>
      <c r="F13" s="6" t="s">
        <v>25</v>
      </c>
    </row>
    <row r="14" spans="2:9" ht="15.6" x14ac:dyDescent="0.3">
      <c r="B14" s="4" t="s">
        <v>26</v>
      </c>
      <c r="C14" s="3">
        <v>12.99</v>
      </c>
      <c r="D14" s="3">
        <v>12.99</v>
      </c>
      <c r="E14" s="5">
        <v>-1.7763568394002501E-15</v>
      </c>
      <c r="F14" s="6" t="s">
        <v>25</v>
      </c>
    </row>
    <row r="15" spans="2:9" ht="15.6" x14ac:dyDescent="0.3">
      <c r="B15" s="4" t="s">
        <v>27</v>
      </c>
      <c r="C15" s="3">
        <v>0.04</v>
      </c>
      <c r="D15" s="3">
        <v>0.04</v>
      </c>
      <c r="E15" s="5">
        <v>0</v>
      </c>
      <c r="F15" s="6" t="s">
        <v>25</v>
      </c>
    </row>
    <row r="16" spans="2:9" ht="15.6" x14ac:dyDescent="0.3">
      <c r="B16" s="4" t="s">
        <v>28</v>
      </c>
      <c r="C16" s="3">
        <v>9.5500000000000007</v>
      </c>
      <c r="D16" s="3">
        <v>9.5500000000000007</v>
      </c>
      <c r="E16" s="5">
        <v>0</v>
      </c>
      <c r="F16" s="6" t="s">
        <v>25</v>
      </c>
    </row>
    <row r="17" spans="2:9" ht="15.6" x14ac:dyDescent="0.3">
      <c r="B17" s="4" t="s">
        <v>29</v>
      </c>
      <c r="C17" s="3">
        <v>1</v>
      </c>
      <c r="D17" s="3">
        <v>1</v>
      </c>
      <c r="E17" s="5">
        <v>0</v>
      </c>
      <c r="F17" s="6" t="s">
        <v>25</v>
      </c>
    </row>
    <row r="18" spans="2:9" ht="15.6" x14ac:dyDescent="0.3">
      <c r="B18" s="4" t="s">
        <v>30</v>
      </c>
      <c r="C18" s="3">
        <v>28</v>
      </c>
      <c r="D18" s="3">
        <v>28</v>
      </c>
      <c r="E18" s="5">
        <v>0</v>
      </c>
      <c r="F18" s="6" t="s">
        <v>25</v>
      </c>
    </row>
    <row r="19" spans="2:9" ht="15.6" x14ac:dyDescent="0.3">
      <c r="B19" s="7" t="s">
        <v>31</v>
      </c>
      <c r="C19" s="8">
        <v>91.58</v>
      </c>
      <c r="D19" s="8">
        <v>91.58</v>
      </c>
      <c r="E19" s="5">
        <v>0</v>
      </c>
      <c r="F19" s="6" t="s">
        <v>25</v>
      </c>
    </row>
    <row r="21" spans="2:9" ht="15.6" x14ac:dyDescent="0.3">
      <c r="B21" s="15" t="s">
        <v>130</v>
      </c>
      <c r="C21" s="16"/>
      <c r="D21" s="16"/>
      <c r="E21" s="16"/>
      <c r="F21" s="16"/>
      <c r="G21" s="16"/>
      <c r="H21" s="16"/>
      <c r="I21" s="16"/>
    </row>
    <row r="22" spans="2:9" ht="15.6" x14ac:dyDescent="0.3">
      <c r="B22" s="17" t="s">
        <v>131</v>
      </c>
      <c r="C22" s="18"/>
      <c r="D22" s="18"/>
      <c r="E22" s="18"/>
      <c r="F22" s="18"/>
      <c r="G22" s="18"/>
      <c r="H22" s="18"/>
      <c r="I22" s="18"/>
    </row>
    <row r="23" spans="2:9" ht="15.6" x14ac:dyDescent="0.3">
      <c r="B23" s="17" t="s">
        <v>132</v>
      </c>
      <c r="C23" s="18"/>
      <c r="D23" s="18"/>
      <c r="E23" s="18"/>
      <c r="F23" s="18"/>
      <c r="G23" s="18"/>
      <c r="H23" s="18"/>
      <c r="I23" s="18"/>
    </row>
  </sheetData>
  <mergeCells count="6">
    <mergeCell ref="B3:I3"/>
    <mergeCell ref="B2:I2"/>
    <mergeCell ref="B6:I6"/>
    <mergeCell ref="B11:F11"/>
    <mergeCell ref="B21:I21"/>
    <mergeCell ref="B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B2:M7"/>
  <sheetViews>
    <sheetView showGridLines="0" workbookViewId="0"/>
  </sheetViews>
  <sheetFormatPr defaultRowHeight="14.4" x14ac:dyDescent="0.3"/>
  <cols>
    <col min="1" max="1" width="3" customWidth="1"/>
    <col min="2" max="2" width="16" customWidth="1"/>
    <col min="3" max="3" width="8" customWidth="1"/>
    <col min="4" max="4" width="16" customWidth="1"/>
    <col min="5" max="7" width="12" customWidth="1"/>
    <col min="8" max="8" width="10" customWidth="1"/>
    <col min="9" max="9" width="12" customWidth="1"/>
    <col min="10" max="11" width="10" customWidth="1"/>
    <col min="12" max="13" width="14" customWidth="1"/>
  </cols>
  <sheetData>
    <row r="2" spans="2:13" ht="21" x14ac:dyDescent="0.4">
      <c r="B2" s="19" t="s">
        <v>32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2:13" x14ac:dyDescent="0.3">
      <c r="B3" s="25" t="s">
        <v>2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5" spans="2:13" ht="31.2" x14ac:dyDescent="0.3">
      <c r="B5" s="1" t="s">
        <v>5</v>
      </c>
      <c r="C5" s="1" t="s">
        <v>7</v>
      </c>
      <c r="D5" s="1" t="s">
        <v>33</v>
      </c>
      <c r="E5" s="1" t="s">
        <v>24</v>
      </c>
      <c r="F5" s="1" t="s">
        <v>30</v>
      </c>
      <c r="G5" s="1" t="s">
        <v>34</v>
      </c>
      <c r="H5" s="1" t="s">
        <v>35</v>
      </c>
      <c r="I5" s="1" t="s">
        <v>29</v>
      </c>
      <c r="J5" s="1" t="s">
        <v>36</v>
      </c>
      <c r="K5" s="1" t="s">
        <v>37</v>
      </c>
      <c r="L5" s="1" t="s">
        <v>38</v>
      </c>
      <c r="M5" s="1" t="s">
        <v>39</v>
      </c>
    </row>
    <row r="6" spans="2:13" ht="15.6" x14ac:dyDescent="0.3">
      <c r="B6" s="4" t="s">
        <v>12</v>
      </c>
      <c r="C6" s="4" t="s">
        <v>14</v>
      </c>
      <c r="D6" s="30">
        <v>18675</v>
      </c>
      <c r="E6" s="30">
        <v>20</v>
      </c>
      <c r="F6" s="30">
        <v>28.01</v>
      </c>
      <c r="G6" s="30">
        <v>6.64</v>
      </c>
      <c r="H6" s="30">
        <v>0.02</v>
      </c>
      <c r="I6" s="30">
        <v>0</v>
      </c>
      <c r="J6" s="30">
        <v>4.8</v>
      </c>
      <c r="K6" s="30">
        <v>0</v>
      </c>
      <c r="L6" s="30">
        <v>0</v>
      </c>
      <c r="M6" s="30">
        <v>59.46</v>
      </c>
    </row>
    <row r="7" spans="2:13" ht="15.6" x14ac:dyDescent="0.3">
      <c r="B7" s="4" t="s">
        <v>15</v>
      </c>
      <c r="C7" s="4" t="s">
        <v>17</v>
      </c>
      <c r="D7" s="30">
        <v>17875</v>
      </c>
      <c r="E7" s="30">
        <v>20</v>
      </c>
      <c r="F7" s="30">
        <v>0</v>
      </c>
      <c r="G7" s="30">
        <v>6.35</v>
      </c>
      <c r="H7" s="30">
        <v>0.02</v>
      </c>
      <c r="I7" s="30">
        <v>0.54</v>
      </c>
      <c r="J7" s="30">
        <v>4.75</v>
      </c>
      <c r="K7" s="30">
        <v>0</v>
      </c>
      <c r="L7" s="30">
        <v>0</v>
      </c>
      <c r="M7" s="30">
        <v>31.65</v>
      </c>
    </row>
  </sheetData>
  <mergeCells count="2">
    <mergeCell ref="B2:M2"/>
    <mergeCell ref="B3:M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8F00"/>
  </sheetPr>
  <dimension ref="B2:L13"/>
  <sheetViews>
    <sheetView showGridLines="0" workbookViewId="0"/>
  </sheetViews>
  <sheetFormatPr defaultRowHeight="14.4" x14ac:dyDescent="0.3"/>
  <cols>
    <col min="1" max="1" width="3" customWidth="1"/>
    <col min="2" max="2" width="38.33203125" bestFit="1" customWidth="1"/>
    <col min="3" max="3" width="17.21875" bestFit="1" customWidth="1"/>
    <col min="4" max="4" width="11.109375" bestFit="1" customWidth="1"/>
    <col min="5" max="5" width="12.5546875" bestFit="1" customWidth="1"/>
    <col min="6" max="6" width="10.21875" bestFit="1" customWidth="1"/>
    <col min="7" max="7" width="8.6640625" bestFit="1" customWidth="1"/>
    <col min="8" max="8" width="11.44140625" bestFit="1" customWidth="1"/>
    <col min="9" max="10" width="8.6640625" bestFit="1" customWidth="1"/>
    <col min="11" max="12" width="12.5546875" bestFit="1" customWidth="1"/>
  </cols>
  <sheetData>
    <row r="2" spans="2:12" ht="21" x14ac:dyDescent="0.4">
      <c r="B2" s="19" t="s">
        <v>40</v>
      </c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2:12" x14ac:dyDescent="0.3">
      <c r="B3" s="26" t="s">
        <v>2</v>
      </c>
      <c r="C3" s="27"/>
      <c r="D3" s="27"/>
      <c r="E3" s="27"/>
      <c r="F3" s="27"/>
      <c r="G3" s="27"/>
      <c r="H3" s="27"/>
      <c r="I3" s="27"/>
      <c r="J3" s="27"/>
      <c r="K3" s="27"/>
      <c r="L3" s="28"/>
    </row>
    <row r="5" spans="2:12" ht="31.2" x14ac:dyDescent="0.3">
      <c r="B5" s="1" t="s">
        <v>41</v>
      </c>
      <c r="C5" s="1" t="s">
        <v>42</v>
      </c>
      <c r="D5" s="1" t="s">
        <v>24</v>
      </c>
      <c r="E5" s="1" t="s">
        <v>30</v>
      </c>
      <c r="F5" s="1" t="s">
        <v>34</v>
      </c>
      <c r="G5" s="1" t="s">
        <v>35</v>
      </c>
      <c r="H5" s="1" t="s">
        <v>29</v>
      </c>
      <c r="I5" s="1" t="s">
        <v>36</v>
      </c>
      <c r="J5" s="1" t="s">
        <v>37</v>
      </c>
      <c r="K5" s="1" t="s">
        <v>38</v>
      </c>
      <c r="L5" s="1" t="s">
        <v>43</v>
      </c>
    </row>
    <row r="6" spans="2:12" ht="15.6" x14ac:dyDescent="0.3">
      <c r="B6" s="4" t="s">
        <v>44</v>
      </c>
      <c r="C6" s="29">
        <v>10000</v>
      </c>
      <c r="D6" s="29">
        <v>3</v>
      </c>
      <c r="E6" s="29">
        <v>2.5</v>
      </c>
      <c r="F6" s="29">
        <v>0.31</v>
      </c>
      <c r="G6" s="29">
        <v>0.01</v>
      </c>
      <c r="H6" s="29">
        <v>0</v>
      </c>
      <c r="I6" s="29">
        <v>0.6</v>
      </c>
      <c r="J6" s="29">
        <v>0</v>
      </c>
      <c r="K6" s="29">
        <v>0</v>
      </c>
      <c r="L6" s="29">
        <v>6.41</v>
      </c>
    </row>
    <row r="7" spans="2:12" ht="15.6" x14ac:dyDescent="0.3">
      <c r="B7" s="4" t="s">
        <v>45</v>
      </c>
      <c r="C7" s="29">
        <v>10000000</v>
      </c>
      <c r="D7" s="29">
        <v>0</v>
      </c>
      <c r="E7" s="29">
        <v>10000</v>
      </c>
      <c r="F7" s="29">
        <v>306.99</v>
      </c>
      <c r="G7" s="29">
        <v>10</v>
      </c>
      <c r="H7" s="29">
        <v>1500</v>
      </c>
      <c r="I7" s="29">
        <v>57.06</v>
      </c>
      <c r="J7" s="29">
        <v>0</v>
      </c>
      <c r="K7" s="29">
        <v>0</v>
      </c>
      <c r="L7" s="29">
        <v>11874.06</v>
      </c>
    </row>
    <row r="8" spans="2:12" ht="15.6" x14ac:dyDescent="0.3">
      <c r="B8" s="4" t="s">
        <v>46</v>
      </c>
      <c r="C8" s="29">
        <v>10000000</v>
      </c>
      <c r="D8" s="29">
        <v>0</v>
      </c>
      <c r="E8" s="29">
        <v>10000</v>
      </c>
      <c r="F8" s="29">
        <v>306.99</v>
      </c>
      <c r="G8" s="29">
        <v>10</v>
      </c>
      <c r="H8" s="29">
        <v>0</v>
      </c>
      <c r="I8" s="29">
        <v>57.06</v>
      </c>
      <c r="J8" s="29">
        <v>12.5</v>
      </c>
      <c r="K8" s="29">
        <v>0</v>
      </c>
      <c r="L8" s="29">
        <v>10388.81</v>
      </c>
    </row>
    <row r="9" spans="2:12" ht="15.6" x14ac:dyDescent="0.3">
      <c r="B9" s="4" t="s">
        <v>47</v>
      </c>
      <c r="C9" s="29">
        <v>1837500</v>
      </c>
      <c r="D9" s="29">
        <v>20</v>
      </c>
      <c r="E9" s="29">
        <v>918.75</v>
      </c>
      <c r="F9" s="29">
        <v>33.619999999999997</v>
      </c>
      <c r="G9" s="29">
        <v>1.84</v>
      </c>
      <c r="H9" s="29">
        <v>0</v>
      </c>
      <c r="I9" s="29">
        <v>9.98</v>
      </c>
      <c r="J9" s="29">
        <v>0</v>
      </c>
      <c r="K9" s="29">
        <v>0</v>
      </c>
      <c r="L9" s="29">
        <v>984.2</v>
      </c>
    </row>
    <row r="10" spans="2:12" ht="15.6" x14ac:dyDescent="0.3">
      <c r="B10" s="4" t="s">
        <v>48</v>
      </c>
      <c r="C10" s="29">
        <v>18375000</v>
      </c>
      <c r="D10" s="29">
        <v>20</v>
      </c>
      <c r="E10" s="29">
        <v>112.5</v>
      </c>
      <c r="F10" s="29">
        <v>26.65</v>
      </c>
      <c r="G10" s="29">
        <v>7.0000000000000007E-2</v>
      </c>
      <c r="H10" s="29">
        <v>0</v>
      </c>
      <c r="I10" s="29">
        <v>8.41</v>
      </c>
      <c r="J10" s="29">
        <v>0</v>
      </c>
      <c r="K10" s="29">
        <v>0</v>
      </c>
      <c r="L10" s="29">
        <v>167.63</v>
      </c>
    </row>
    <row r="11" spans="2:12" ht="15.6" x14ac:dyDescent="0.3">
      <c r="B11" s="4" t="s">
        <v>49</v>
      </c>
      <c r="C11" s="29">
        <v>1560000</v>
      </c>
      <c r="D11" s="29">
        <v>20</v>
      </c>
      <c r="E11" s="29">
        <v>0</v>
      </c>
      <c r="F11" s="29">
        <v>0.01</v>
      </c>
      <c r="G11" s="29">
        <v>0</v>
      </c>
      <c r="H11" s="29">
        <v>0</v>
      </c>
      <c r="I11" s="29">
        <v>3.6</v>
      </c>
      <c r="J11" s="29">
        <v>0</v>
      </c>
      <c r="K11" s="29">
        <v>0</v>
      </c>
      <c r="L11" s="29">
        <v>23.61</v>
      </c>
    </row>
    <row r="12" spans="2:12" ht="15.6" x14ac:dyDescent="0.3">
      <c r="B12" s="4" t="s">
        <v>50</v>
      </c>
      <c r="C12" s="29">
        <v>2500800</v>
      </c>
      <c r="D12" s="29">
        <v>20</v>
      </c>
      <c r="E12" s="29">
        <v>2500.8000000000002</v>
      </c>
      <c r="F12" s="29">
        <v>76.77</v>
      </c>
      <c r="G12" s="29">
        <v>2.5</v>
      </c>
      <c r="H12" s="29">
        <v>375.12</v>
      </c>
      <c r="I12" s="29">
        <v>17.87</v>
      </c>
      <c r="J12" s="29">
        <v>0</v>
      </c>
      <c r="K12" s="29">
        <v>22337.63</v>
      </c>
      <c r="L12" s="29">
        <v>25330.69</v>
      </c>
    </row>
    <row r="13" spans="2:12" ht="15.6" x14ac:dyDescent="0.3">
      <c r="B13" s="4" t="s">
        <v>51</v>
      </c>
      <c r="C13" s="29">
        <v>10668000</v>
      </c>
      <c r="D13" s="29">
        <v>20</v>
      </c>
      <c r="E13" s="29">
        <v>10668</v>
      </c>
      <c r="F13" s="29">
        <v>327.5</v>
      </c>
      <c r="G13" s="29">
        <v>10.67</v>
      </c>
      <c r="H13" s="29">
        <v>1600.2</v>
      </c>
      <c r="I13" s="29">
        <v>64.47</v>
      </c>
      <c r="J13" s="29">
        <v>0</v>
      </c>
      <c r="K13" s="29">
        <v>3614.7</v>
      </c>
      <c r="L13" s="29">
        <v>16305.55</v>
      </c>
    </row>
  </sheetData>
  <mergeCells count="1">
    <mergeCell ref="B2:L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N27"/>
  <sheetViews>
    <sheetView showGridLines="0" workbookViewId="0"/>
  </sheetViews>
  <sheetFormatPr defaultRowHeight="14.4" x14ac:dyDescent="0.3"/>
  <cols>
    <col min="1" max="1" width="3" customWidth="1"/>
    <col min="2" max="2" width="22" customWidth="1"/>
    <col min="3" max="4" width="18" customWidth="1"/>
    <col min="5" max="5" width="20" customWidth="1"/>
    <col min="6" max="7" width="18" customWidth="1"/>
    <col min="8" max="8" width="22" customWidth="1"/>
    <col min="9" max="9" width="20" customWidth="1"/>
    <col min="11" max="11" width="21.77734375" bestFit="1" customWidth="1"/>
    <col min="12" max="12" width="12.109375" bestFit="1" customWidth="1"/>
  </cols>
  <sheetData>
    <row r="2" spans="2:14" ht="21" x14ac:dyDescent="0.4">
      <c r="B2" s="19" t="s">
        <v>52</v>
      </c>
      <c r="C2" s="20"/>
      <c r="D2" s="20"/>
      <c r="E2" s="20"/>
      <c r="F2" s="20"/>
      <c r="G2" s="20"/>
      <c r="H2" s="20"/>
      <c r="I2" s="20"/>
    </row>
    <row r="3" spans="2:14" ht="15.6" x14ac:dyDescent="0.3">
      <c r="B3" s="31" t="s">
        <v>53</v>
      </c>
      <c r="C3" s="32"/>
      <c r="D3" s="32"/>
      <c r="E3" s="32"/>
      <c r="F3" s="32"/>
      <c r="G3" s="32"/>
      <c r="H3" s="32"/>
      <c r="I3" s="33"/>
    </row>
    <row r="4" spans="2:14" x14ac:dyDescent="0.3">
      <c r="B4" s="22" t="s">
        <v>2</v>
      </c>
      <c r="C4" s="23"/>
      <c r="D4" s="23"/>
      <c r="E4" s="23"/>
      <c r="F4" s="23"/>
      <c r="G4" s="23"/>
      <c r="H4" s="23"/>
      <c r="I4" s="24"/>
    </row>
    <row r="6" spans="2:14" x14ac:dyDescent="0.3">
      <c r="B6" s="34" t="s">
        <v>54</v>
      </c>
      <c r="C6" s="20"/>
      <c r="D6" s="20"/>
      <c r="E6" s="20"/>
      <c r="F6" s="20"/>
      <c r="G6" s="20"/>
      <c r="H6" s="20"/>
      <c r="I6" s="20"/>
    </row>
    <row r="8" spans="2:14" ht="18" x14ac:dyDescent="0.35">
      <c r="B8" s="14" t="s">
        <v>55</v>
      </c>
      <c r="C8" s="13"/>
      <c r="D8" s="13"/>
      <c r="E8" s="13"/>
      <c r="F8" s="13"/>
      <c r="G8" s="13"/>
      <c r="H8" s="13"/>
      <c r="I8" s="13"/>
    </row>
    <row r="9" spans="2:14" s="36" customFormat="1" ht="31.2" x14ac:dyDescent="0.3">
      <c r="B9" s="1" t="s">
        <v>56</v>
      </c>
      <c r="C9" s="1" t="s">
        <v>57</v>
      </c>
      <c r="D9" s="1" t="s">
        <v>58</v>
      </c>
      <c r="E9" s="1" t="s">
        <v>59</v>
      </c>
      <c r="F9" s="1" t="s">
        <v>60</v>
      </c>
      <c r="G9" s="1" t="s">
        <v>61</v>
      </c>
      <c r="H9" s="1" t="s">
        <v>62</v>
      </c>
      <c r="I9" s="1" t="s">
        <v>63</v>
      </c>
      <c r="M9"/>
      <c r="N9"/>
    </row>
    <row r="10" spans="2:14" ht="15.6" x14ac:dyDescent="0.3">
      <c r="B10" s="37">
        <v>100</v>
      </c>
      <c r="C10" s="29">
        <v>250000</v>
      </c>
      <c r="D10" s="39">
        <v>4.7737944653295302E-6</v>
      </c>
      <c r="E10" s="29">
        <v>40.451500000000003</v>
      </c>
      <c r="F10" s="29">
        <v>2.7615806792097022</v>
      </c>
      <c r="G10" s="29">
        <v>43.213080679209703</v>
      </c>
      <c r="H10" s="40">
        <v>6.8268931416874592</v>
      </c>
      <c r="I10" s="11">
        <v>0.11046322716838811</v>
      </c>
    </row>
    <row r="11" spans="2:14" ht="15.6" x14ac:dyDescent="0.3">
      <c r="B11" s="37">
        <v>500</v>
      </c>
      <c r="C11" s="29">
        <v>1250000</v>
      </c>
      <c r="D11" s="39">
        <v>2.3868972326647649E-5</v>
      </c>
      <c r="E11" s="29">
        <v>107.8575</v>
      </c>
      <c r="F11" s="29">
        <v>30.875410620314671</v>
      </c>
      <c r="G11" s="29">
        <v>138.7329106203147</v>
      </c>
      <c r="H11" s="40">
        <v>28.62611373368998</v>
      </c>
      <c r="I11" s="11">
        <v>0.24700328496251739</v>
      </c>
      <c r="M11" s="36"/>
      <c r="N11" s="36"/>
    </row>
    <row r="12" spans="2:14" ht="15.6" x14ac:dyDescent="0.3">
      <c r="B12" s="37">
        <v>1000</v>
      </c>
      <c r="C12" s="29">
        <v>2500000</v>
      </c>
      <c r="D12" s="39">
        <v>4.7737944653295299E-5</v>
      </c>
      <c r="E12" s="29">
        <v>192.11500000000001</v>
      </c>
      <c r="F12" s="29">
        <v>87.328848886174598</v>
      </c>
      <c r="G12" s="29">
        <v>279.44384888617458</v>
      </c>
      <c r="H12" s="40">
        <v>45.456548882791353</v>
      </c>
      <c r="I12" s="11">
        <v>0.34931539554469843</v>
      </c>
    </row>
    <row r="13" spans="2:14" ht="15.6" x14ac:dyDescent="0.3">
      <c r="B13" s="37">
        <v>5000</v>
      </c>
      <c r="C13" s="29">
        <v>12500000</v>
      </c>
      <c r="D13" s="39">
        <v>2.3868972326647651E-4</v>
      </c>
      <c r="E13" s="29">
        <v>866.17499999999995</v>
      </c>
      <c r="F13" s="29">
        <v>976.36621253146609</v>
      </c>
      <c r="G13" s="29">
        <v>1842.541212531466</v>
      </c>
      <c r="H13" s="40">
        <v>112.72158773128599</v>
      </c>
      <c r="I13" s="11">
        <v>0.78109297002517286</v>
      </c>
    </row>
    <row r="14" spans="2:14" ht="15.6" x14ac:dyDescent="0.3">
      <c r="B14" s="37">
        <v>10000</v>
      </c>
      <c r="C14" s="29">
        <v>25000000</v>
      </c>
      <c r="D14" s="39">
        <v>4.7737944653295303E-4</v>
      </c>
      <c r="E14" s="29">
        <v>1708.75</v>
      </c>
      <c r="F14" s="29">
        <v>2761.5806792097019</v>
      </c>
      <c r="G14" s="29">
        <v>4470.3306792097019</v>
      </c>
      <c r="H14" s="40">
        <v>161.61408510371339</v>
      </c>
      <c r="I14" s="11">
        <v>1.104632271683881</v>
      </c>
    </row>
    <row r="15" spans="2:14" ht="15.6" x14ac:dyDescent="0.3">
      <c r="B15" s="37">
        <v>25000</v>
      </c>
      <c r="C15" s="29">
        <v>62500000</v>
      </c>
      <c r="D15" s="39">
        <v>1.193448616332382E-3</v>
      </c>
      <c r="E15" s="29">
        <v>4236.4750000000004</v>
      </c>
      <c r="F15" s="29">
        <v>10916.106110771831</v>
      </c>
      <c r="G15" s="29">
        <v>15152.581110771829</v>
      </c>
      <c r="H15" s="40">
        <v>257.66955100105213</v>
      </c>
      <c r="I15" s="11">
        <v>1.7465769777234921</v>
      </c>
    </row>
    <row r="16" spans="2:14" ht="15.6" x14ac:dyDescent="0.3">
      <c r="B16" s="37">
        <v>50000</v>
      </c>
      <c r="C16" s="29">
        <v>125000000</v>
      </c>
      <c r="D16" s="39">
        <v>2.3868972326647649E-3</v>
      </c>
      <c r="E16" s="29">
        <v>8449.3499999999985</v>
      </c>
      <c r="F16" s="29">
        <v>30875.410620314669</v>
      </c>
      <c r="G16" s="29">
        <v>39324.760620314657</v>
      </c>
      <c r="H16" s="40">
        <v>365.41758384153422</v>
      </c>
      <c r="I16" s="11">
        <v>2.4700328496251731</v>
      </c>
    </row>
    <row r="17" spans="2:9" ht="15.6" x14ac:dyDescent="0.3">
      <c r="B17" s="37">
        <v>100000</v>
      </c>
      <c r="C17" s="29">
        <v>250000000</v>
      </c>
      <c r="D17" s="39">
        <v>4.7737944653295297E-3</v>
      </c>
      <c r="E17" s="29">
        <v>16875.099999999991</v>
      </c>
      <c r="F17" s="29">
        <v>87328.848886174601</v>
      </c>
      <c r="G17" s="29">
        <v>104203.94888617461</v>
      </c>
      <c r="H17" s="40">
        <v>517.50122302193552</v>
      </c>
      <c r="I17" s="11">
        <v>3.4931539554469841</v>
      </c>
    </row>
    <row r="19" spans="2:9" ht="18" x14ac:dyDescent="0.35">
      <c r="B19" s="41" t="s">
        <v>64</v>
      </c>
      <c r="C19" s="42"/>
      <c r="D19" s="42"/>
      <c r="E19" s="42"/>
    </row>
    <row r="21" spans="2:9" ht="15.6" x14ac:dyDescent="0.3">
      <c r="B21" s="12" t="s">
        <v>65</v>
      </c>
      <c r="C21" s="12" t="s">
        <v>66</v>
      </c>
    </row>
    <row r="22" spans="2:9" ht="15.6" x14ac:dyDescent="0.3">
      <c r="B22" s="4" t="s">
        <v>24</v>
      </c>
      <c r="C22" s="29">
        <v>20</v>
      </c>
    </row>
    <row r="23" spans="2:9" ht="15.6" x14ac:dyDescent="0.3">
      <c r="B23" s="4" t="s">
        <v>30</v>
      </c>
      <c r="C23" s="29">
        <v>0</v>
      </c>
    </row>
    <row r="24" spans="2:9" ht="15.6" x14ac:dyDescent="0.3">
      <c r="B24" s="4" t="s">
        <v>67</v>
      </c>
      <c r="C24" s="29">
        <v>792.5</v>
      </c>
    </row>
    <row r="25" spans="2:9" ht="15.6" x14ac:dyDescent="0.3">
      <c r="B25" s="4" t="s">
        <v>29</v>
      </c>
      <c r="C25" s="29">
        <v>750</v>
      </c>
    </row>
    <row r="26" spans="2:9" ht="15.6" x14ac:dyDescent="0.3">
      <c r="B26" s="4" t="s">
        <v>36</v>
      </c>
      <c r="C26" s="29">
        <v>146.25</v>
      </c>
    </row>
    <row r="27" spans="2:9" ht="15.6" x14ac:dyDescent="0.3">
      <c r="B27" s="4" t="s">
        <v>68</v>
      </c>
      <c r="C27" s="29">
        <v>2761.58</v>
      </c>
    </row>
  </sheetData>
  <mergeCells count="6">
    <mergeCell ref="B19:E19"/>
    <mergeCell ref="B6:I6"/>
    <mergeCell ref="B8:I8"/>
    <mergeCell ref="B2:I2"/>
    <mergeCell ref="B3:I3"/>
    <mergeCell ref="B4: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B2:J12"/>
  <sheetViews>
    <sheetView showGridLines="0" workbookViewId="0"/>
  </sheetViews>
  <sheetFormatPr defaultRowHeight="14.4" x14ac:dyDescent="0.3"/>
  <cols>
    <col min="1" max="1" width="3" customWidth="1"/>
    <col min="2" max="2" width="14" customWidth="1"/>
    <col min="3" max="4" width="12" customWidth="1"/>
    <col min="5" max="6" width="18" customWidth="1"/>
    <col min="7" max="7" width="20" customWidth="1"/>
    <col min="8" max="9" width="18" customWidth="1"/>
    <col min="10" max="10" width="22" customWidth="1"/>
  </cols>
  <sheetData>
    <row r="2" spans="2:10" ht="21" x14ac:dyDescent="0.4">
      <c r="B2" s="43" t="s">
        <v>69</v>
      </c>
      <c r="C2" s="44"/>
      <c r="D2" s="44"/>
      <c r="E2" s="44"/>
      <c r="F2" s="44"/>
      <c r="G2" s="44"/>
      <c r="H2" s="44"/>
      <c r="I2" s="44"/>
      <c r="J2" s="44"/>
    </row>
    <row r="3" spans="2:10" ht="15.6" x14ac:dyDescent="0.3">
      <c r="B3" s="45" t="s">
        <v>70</v>
      </c>
      <c r="C3" s="45"/>
      <c r="D3" s="45"/>
      <c r="E3" s="45"/>
      <c r="F3" s="45"/>
      <c r="G3" s="45"/>
      <c r="H3" s="45"/>
      <c r="I3" s="45"/>
      <c r="J3" s="45"/>
    </row>
    <row r="4" spans="2:10" x14ac:dyDescent="0.3">
      <c r="B4" s="22" t="s">
        <v>2</v>
      </c>
      <c r="C4" s="23"/>
      <c r="D4" s="23"/>
      <c r="E4" s="23"/>
      <c r="F4" s="23"/>
      <c r="G4" s="23"/>
      <c r="H4" s="23"/>
      <c r="I4" s="23"/>
      <c r="J4" s="24"/>
    </row>
    <row r="6" spans="2:10" s="35" customFormat="1" ht="31.2" x14ac:dyDescent="0.3">
      <c r="B6" s="1" t="s">
        <v>71</v>
      </c>
      <c r="C6" s="1" t="s">
        <v>72</v>
      </c>
      <c r="D6" s="1" t="s">
        <v>133</v>
      </c>
      <c r="E6" s="1" t="s">
        <v>73</v>
      </c>
      <c r="F6" s="1" t="s">
        <v>58</v>
      </c>
      <c r="G6" s="1" t="s">
        <v>59</v>
      </c>
      <c r="H6" s="1" t="s">
        <v>60</v>
      </c>
      <c r="I6" s="1" t="s">
        <v>61</v>
      </c>
      <c r="J6" s="1" t="s">
        <v>62</v>
      </c>
    </row>
    <row r="7" spans="2:10" ht="15.6" x14ac:dyDescent="0.3">
      <c r="B7" s="4" t="s">
        <v>74</v>
      </c>
      <c r="C7" s="29">
        <v>2500</v>
      </c>
      <c r="D7" s="38">
        <v>1.6852510791006019E-2</v>
      </c>
      <c r="E7" s="37">
        <v>20947697</v>
      </c>
      <c r="F7" s="38">
        <v>4.7737944653295303E-4</v>
      </c>
      <c r="G7" s="29">
        <v>1708.75</v>
      </c>
      <c r="H7" s="29">
        <v>2761.5806792097019</v>
      </c>
      <c r="I7" s="29">
        <v>4470.3306792097019</v>
      </c>
      <c r="J7" s="10">
        <v>161.61408510371339</v>
      </c>
    </row>
    <row r="8" spans="2:10" ht="15.6" x14ac:dyDescent="0.3">
      <c r="B8" s="4" t="s">
        <v>75</v>
      </c>
      <c r="C8" s="29">
        <v>1800</v>
      </c>
      <c r="D8" s="38">
        <v>1.8493850535795012E-2</v>
      </c>
      <c r="E8" s="37">
        <v>40126478</v>
      </c>
      <c r="F8" s="38">
        <v>2.4921200410362462E-4</v>
      </c>
      <c r="G8" s="29">
        <v>1236.9079999999999</v>
      </c>
      <c r="H8" s="29">
        <v>1576.54213425541</v>
      </c>
      <c r="I8" s="29">
        <v>2813.4501342554099</v>
      </c>
      <c r="J8" s="10">
        <v>127.45831818174111</v>
      </c>
    </row>
    <row r="9" spans="2:10" ht="15.6" x14ac:dyDescent="0.3">
      <c r="B9" s="4" t="s">
        <v>76</v>
      </c>
      <c r="C9" s="29">
        <v>3800</v>
      </c>
      <c r="D9" s="38">
        <v>1.8765280219589779E-2</v>
      </c>
      <c r="E9" s="37">
        <v>4197124</v>
      </c>
      <c r="F9" s="38">
        <v>2.3825838836307911E-3</v>
      </c>
      <c r="G9" s="29">
        <v>2585.0279999999998</v>
      </c>
      <c r="H9" s="29">
        <v>10442.00760781234</v>
      </c>
      <c r="I9" s="29">
        <v>13027.03560781234</v>
      </c>
      <c r="J9" s="10">
        <v>403.94176031409881</v>
      </c>
    </row>
    <row r="10" spans="2:10" ht="15.6" x14ac:dyDescent="0.3">
      <c r="B10" s="4" t="s">
        <v>77</v>
      </c>
      <c r="C10" s="29">
        <v>1500</v>
      </c>
      <c r="D10" s="38">
        <v>2.1670284480101231E-2</v>
      </c>
      <c r="E10" s="37">
        <v>13741970</v>
      </c>
      <c r="F10" s="38">
        <v>7.2769770273112223E-4</v>
      </c>
      <c r="G10" s="29">
        <v>1034.69</v>
      </c>
      <c r="H10" s="29">
        <v>2630.5867503952932</v>
      </c>
      <c r="I10" s="29">
        <v>3665.2767503952932</v>
      </c>
      <c r="J10" s="10">
        <v>254.23911996784469</v>
      </c>
    </row>
    <row r="11" spans="2:10" ht="15.6" x14ac:dyDescent="0.3">
      <c r="B11" s="4" t="s">
        <v>78</v>
      </c>
      <c r="C11" s="29">
        <v>1300</v>
      </c>
      <c r="D11" s="38">
        <v>1.7120485782726722E-2</v>
      </c>
      <c r="E11" s="37">
        <v>19056514</v>
      </c>
      <c r="F11" s="38">
        <v>5.2475494731093E-4</v>
      </c>
      <c r="G11" s="29">
        <v>899.87800000000016</v>
      </c>
      <c r="H11" s="29">
        <v>1529.5333867684089</v>
      </c>
      <c r="I11" s="29">
        <v>2429.4113867684091</v>
      </c>
      <c r="J11" s="10">
        <v>169.9711946250946</v>
      </c>
    </row>
    <row r="12" spans="2:10" ht="15.6" x14ac:dyDescent="0.3">
      <c r="B12" s="4" t="s">
        <v>79</v>
      </c>
      <c r="C12" s="29">
        <v>800</v>
      </c>
      <c r="D12" s="38">
        <v>2.1460874235454199E-2</v>
      </c>
      <c r="E12" s="37">
        <v>19615586</v>
      </c>
      <c r="F12" s="38">
        <v>5.0979868763543438E-4</v>
      </c>
      <c r="G12" s="29">
        <v>562.84799999999996</v>
      </c>
      <c r="H12" s="29">
        <v>1162.941872324215</v>
      </c>
      <c r="I12" s="29">
        <v>1725.789872324214</v>
      </c>
      <c r="J12" s="10">
        <v>206.61739445182619</v>
      </c>
    </row>
  </sheetData>
  <mergeCells count="3">
    <mergeCell ref="B2:J2"/>
    <mergeCell ref="B3:J3"/>
    <mergeCell ref="B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</sheetPr>
  <dimension ref="B2:F39"/>
  <sheetViews>
    <sheetView showGridLines="0" workbookViewId="0"/>
  </sheetViews>
  <sheetFormatPr defaultRowHeight="14.4" x14ac:dyDescent="0.3"/>
  <cols>
    <col min="1" max="1" width="3" customWidth="1"/>
    <col min="2" max="2" width="22" customWidth="1"/>
    <col min="3" max="3" width="18" customWidth="1"/>
    <col min="4" max="4" width="30" customWidth="1"/>
    <col min="5" max="5" width="14" customWidth="1"/>
    <col min="6" max="6" width="31.33203125" bestFit="1" customWidth="1"/>
  </cols>
  <sheetData>
    <row r="2" spans="2:6" ht="21" x14ac:dyDescent="0.4">
      <c r="B2" s="19" t="s">
        <v>80</v>
      </c>
      <c r="C2" s="20"/>
      <c r="D2" s="20"/>
      <c r="E2" s="20"/>
      <c r="F2" s="20"/>
    </row>
    <row r="3" spans="2:6" x14ac:dyDescent="0.3">
      <c r="B3" s="26" t="s">
        <v>2</v>
      </c>
      <c r="C3" s="27"/>
      <c r="D3" s="27"/>
      <c r="E3" s="27"/>
      <c r="F3" s="28"/>
    </row>
    <row r="5" spans="2:6" ht="18" x14ac:dyDescent="0.35">
      <c r="B5" s="14" t="s">
        <v>81</v>
      </c>
      <c r="C5" s="13"/>
      <c r="D5" s="13"/>
      <c r="E5" s="13"/>
      <c r="F5" s="13"/>
    </row>
    <row r="6" spans="2:6" ht="15.6" x14ac:dyDescent="0.3">
      <c r="B6" s="1" t="s">
        <v>82</v>
      </c>
      <c r="C6" s="1" t="s">
        <v>83</v>
      </c>
      <c r="D6" s="1" t="s">
        <v>84</v>
      </c>
      <c r="E6" s="1" t="s">
        <v>7</v>
      </c>
      <c r="F6" s="1" t="s">
        <v>85</v>
      </c>
    </row>
    <row r="7" spans="2:6" ht="15.6" x14ac:dyDescent="0.3">
      <c r="B7" s="4" t="s">
        <v>86</v>
      </c>
      <c r="C7" s="46">
        <v>1E-3</v>
      </c>
      <c r="D7" s="2" t="s">
        <v>42</v>
      </c>
      <c r="E7" s="2" t="s">
        <v>87</v>
      </c>
      <c r="F7" s="4" t="s">
        <v>88</v>
      </c>
    </row>
    <row r="8" spans="2:6" ht="15.6" x14ac:dyDescent="0.3">
      <c r="B8" s="4" t="s">
        <v>89</v>
      </c>
      <c r="C8" s="46">
        <v>2.5000000000000001E-4</v>
      </c>
      <c r="D8" s="2" t="s">
        <v>42</v>
      </c>
      <c r="E8" s="2" t="s">
        <v>90</v>
      </c>
      <c r="F8" s="4"/>
    </row>
    <row r="9" spans="2:6" ht="15.6" x14ac:dyDescent="0.3">
      <c r="B9" s="4" t="s">
        <v>91</v>
      </c>
      <c r="C9" s="46">
        <v>5.0000000000000001E-4</v>
      </c>
      <c r="D9" s="2" t="s">
        <v>92</v>
      </c>
      <c r="E9" s="2" t="s">
        <v>90</v>
      </c>
      <c r="F9" s="4" t="s">
        <v>93</v>
      </c>
    </row>
    <row r="10" spans="2:6" ht="15.6" x14ac:dyDescent="0.3">
      <c r="B10" s="4" t="s">
        <v>94</v>
      </c>
      <c r="C10" s="46">
        <v>1.5E-3</v>
      </c>
      <c r="D10" s="2" t="s">
        <v>33</v>
      </c>
      <c r="E10" s="2" t="s">
        <v>90</v>
      </c>
      <c r="F10" s="4" t="s">
        <v>93</v>
      </c>
    </row>
    <row r="11" spans="2:6" ht="15.6" x14ac:dyDescent="0.3">
      <c r="B11" s="4" t="s">
        <v>95</v>
      </c>
      <c r="C11" s="46">
        <v>1.5E-3</v>
      </c>
      <c r="D11" s="2" t="s">
        <v>96</v>
      </c>
      <c r="E11" s="2" t="s">
        <v>97</v>
      </c>
      <c r="F11" s="4"/>
    </row>
    <row r="12" spans="2:6" ht="15.6" x14ac:dyDescent="0.3">
      <c r="B12" s="4" t="s">
        <v>98</v>
      </c>
      <c r="C12" s="46">
        <v>1.0000000000000001E-5</v>
      </c>
      <c r="D12" s="2" t="s">
        <v>42</v>
      </c>
      <c r="E12" s="2" t="s">
        <v>90</v>
      </c>
      <c r="F12" s="4"/>
    </row>
    <row r="14" spans="2:6" ht="18" x14ac:dyDescent="0.35">
      <c r="B14" s="14" t="s">
        <v>99</v>
      </c>
      <c r="C14" s="13"/>
      <c r="D14" s="13"/>
      <c r="E14" s="13"/>
      <c r="F14" s="13"/>
    </row>
    <row r="15" spans="2:6" ht="15.6" x14ac:dyDescent="0.3">
      <c r="B15" s="1" t="s">
        <v>82</v>
      </c>
      <c r="C15" s="1" t="s">
        <v>83</v>
      </c>
      <c r="D15" s="1" t="s">
        <v>84</v>
      </c>
      <c r="E15" s="1" t="s">
        <v>7</v>
      </c>
      <c r="F15" s="1" t="s">
        <v>85</v>
      </c>
    </row>
    <row r="16" spans="2:6" ht="15.6" x14ac:dyDescent="0.3">
      <c r="B16" s="4" t="s">
        <v>100</v>
      </c>
      <c r="C16" s="48">
        <v>3.0698999999999999E-5</v>
      </c>
      <c r="D16" s="2" t="s">
        <v>42</v>
      </c>
      <c r="E16" s="2" t="s">
        <v>87</v>
      </c>
      <c r="F16" s="4"/>
    </row>
    <row r="17" spans="2:6" ht="15.6" x14ac:dyDescent="0.3">
      <c r="B17" s="4" t="s">
        <v>91</v>
      </c>
      <c r="C17" s="48">
        <v>1.8298999999999999E-5</v>
      </c>
      <c r="D17" s="2" t="s">
        <v>42</v>
      </c>
      <c r="E17" s="2" t="s">
        <v>87</v>
      </c>
      <c r="F17" s="4"/>
    </row>
    <row r="18" spans="2:6" ht="15.6" x14ac:dyDescent="0.3">
      <c r="B18" s="4" t="s">
        <v>94</v>
      </c>
      <c r="C18" s="48">
        <v>3.55299E-4</v>
      </c>
      <c r="D18" s="2" t="s">
        <v>33</v>
      </c>
      <c r="E18" s="2" t="s">
        <v>87</v>
      </c>
      <c r="F18" s="4"/>
    </row>
    <row r="20" spans="2:6" ht="18" x14ac:dyDescent="0.35">
      <c r="B20" s="14" t="s">
        <v>101</v>
      </c>
      <c r="C20" s="13"/>
      <c r="D20" s="13"/>
      <c r="E20" s="13"/>
      <c r="F20" s="13"/>
    </row>
    <row r="21" spans="2:6" ht="15.6" x14ac:dyDescent="0.3">
      <c r="B21" s="1" t="s">
        <v>82</v>
      </c>
      <c r="C21" s="1" t="s">
        <v>83</v>
      </c>
      <c r="D21" s="1" t="s">
        <v>84</v>
      </c>
      <c r="E21" s="1" t="s">
        <v>7</v>
      </c>
      <c r="F21" s="1" t="s">
        <v>85</v>
      </c>
    </row>
    <row r="22" spans="2:6" ht="15.6" x14ac:dyDescent="0.3">
      <c r="B22" s="4" t="s">
        <v>86</v>
      </c>
      <c r="C22" s="46">
        <v>1.4999999999999999E-4</v>
      </c>
      <c r="D22" s="2" t="s">
        <v>42</v>
      </c>
      <c r="E22" s="2" t="s">
        <v>102</v>
      </c>
      <c r="F22" s="4"/>
    </row>
    <row r="23" spans="2:6" ht="15.6" x14ac:dyDescent="0.3">
      <c r="B23" s="4" t="s">
        <v>89</v>
      </c>
      <c r="C23" s="46">
        <v>3.0000000000000001E-5</v>
      </c>
      <c r="D23" s="2" t="s">
        <v>42</v>
      </c>
      <c r="E23" s="2" t="s">
        <v>102</v>
      </c>
      <c r="F23" s="4"/>
    </row>
    <row r="24" spans="2:6" ht="15.6" x14ac:dyDescent="0.3">
      <c r="B24" s="4" t="s">
        <v>91</v>
      </c>
      <c r="C24" s="46">
        <v>2.0000000000000002E-5</v>
      </c>
      <c r="D24" s="2" t="s">
        <v>42</v>
      </c>
      <c r="E24" s="2" t="s">
        <v>102</v>
      </c>
      <c r="F24" s="4"/>
    </row>
    <row r="25" spans="2:6" ht="15.6" x14ac:dyDescent="0.3">
      <c r="B25" s="4" t="s">
        <v>94</v>
      </c>
      <c r="C25" s="46">
        <v>3.0000000000000001E-5</v>
      </c>
      <c r="D25" s="2" t="s">
        <v>33</v>
      </c>
      <c r="E25" s="2" t="s">
        <v>102</v>
      </c>
      <c r="F25" s="4"/>
    </row>
    <row r="27" spans="2:6" ht="18" x14ac:dyDescent="0.35">
      <c r="B27" s="14" t="s">
        <v>103</v>
      </c>
      <c r="C27" s="13"/>
      <c r="D27" s="13"/>
      <c r="E27" s="13"/>
      <c r="F27" s="13"/>
    </row>
    <row r="28" spans="2:6" ht="15.6" x14ac:dyDescent="0.3">
      <c r="B28" s="1" t="s">
        <v>82</v>
      </c>
      <c r="C28" s="1" t="s">
        <v>83</v>
      </c>
      <c r="D28" s="1" t="s">
        <v>84</v>
      </c>
      <c r="E28" s="1" t="s">
        <v>7</v>
      </c>
      <c r="F28" s="1" t="s">
        <v>85</v>
      </c>
    </row>
    <row r="29" spans="2:6" ht="15.6" x14ac:dyDescent="0.3">
      <c r="B29" s="4" t="s">
        <v>104</v>
      </c>
      <c r="C29" s="47">
        <v>9.9999999999999995E-7</v>
      </c>
      <c r="D29" s="2" t="s">
        <v>105</v>
      </c>
      <c r="E29" s="2" t="s">
        <v>87</v>
      </c>
      <c r="F29" s="4" t="s">
        <v>106</v>
      </c>
    </row>
    <row r="30" spans="2:6" ht="15.6" x14ac:dyDescent="0.3">
      <c r="B30" s="4" t="s">
        <v>107</v>
      </c>
      <c r="C30" s="48">
        <v>1.0000000000000001E-9</v>
      </c>
      <c r="D30" s="2" t="s">
        <v>105</v>
      </c>
      <c r="E30" s="2" t="s">
        <v>87</v>
      </c>
      <c r="F30" s="4" t="s">
        <v>108</v>
      </c>
    </row>
    <row r="31" spans="2:6" ht="15.6" x14ac:dyDescent="0.3">
      <c r="B31" s="4" t="s">
        <v>36</v>
      </c>
      <c r="C31" s="9">
        <v>0.18</v>
      </c>
      <c r="D31" s="2" t="s">
        <v>109</v>
      </c>
      <c r="E31" s="2" t="s">
        <v>87</v>
      </c>
      <c r="F31" s="4"/>
    </row>
    <row r="32" spans="2:6" ht="15.6" x14ac:dyDescent="0.3">
      <c r="B32" s="4" t="s">
        <v>110</v>
      </c>
      <c r="C32" s="2" t="s">
        <v>111</v>
      </c>
      <c r="D32" s="2" t="s">
        <v>112</v>
      </c>
      <c r="E32" s="2" t="s">
        <v>113</v>
      </c>
      <c r="F32" s="4" t="s">
        <v>114</v>
      </c>
    </row>
    <row r="34" spans="2:6" ht="18" x14ac:dyDescent="0.35">
      <c r="B34" s="14" t="s">
        <v>115</v>
      </c>
      <c r="C34" s="13"/>
      <c r="D34" s="13"/>
      <c r="E34" s="13"/>
      <c r="F34" s="13"/>
    </row>
    <row r="35" spans="2:6" ht="15.6" x14ac:dyDescent="0.3">
      <c r="B35" s="1" t="s">
        <v>82</v>
      </c>
      <c r="C35" s="1" t="s">
        <v>83</v>
      </c>
      <c r="D35" s="1" t="s">
        <v>84</v>
      </c>
      <c r="E35" s="1" t="s">
        <v>7</v>
      </c>
      <c r="F35" s="1" t="s">
        <v>85</v>
      </c>
    </row>
    <row r="36" spans="2:6" ht="15.6" x14ac:dyDescent="0.3">
      <c r="B36" s="4" t="s">
        <v>116</v>
      </c>
      <c r="C36" s="2" t="s">
        <v>117</v>
      </c>
      <c r="D36" s="2" t="s">
        <v>118</v>
      </c>
      <c r="E36" s="2" t="s">
        <v>87</v>
      </c>
      <c r="F36" s="4" t="s">
        <v>119</v>
      </c>
    </row>
    <row r="37" spans="2:6" ht="15.6" x14ac:dyDescent="0.3">
      <c r="B37" s="4" t="s">
        <v>120</v>
      </c>
      <c r="C37" s="2" t="s">
        <v>121</v>
      </c>
      <c r="D37" s="2" t="s">
        <v>122</v>
      </c>
      <c r="E37" s="2"/>
      <c r="F37" s="4" t="s">
        <v>123</v>
      </c>
    </row>
    <row r="38" spans="2:6" ht="15.6" x14ac:dyDescent="0.3">
      <c r="B38" s="4" t="s">
        <v>124</v>
      </c>
      <c r="C38" s="2" t="s">
        <v>125</v>
      </c>
      <c r="D38" s="2" t="s">
        <v>126</v>
      </c>
      <c r="E38" s="2"/>
      <c r="F38" s="4"/>
    </row>
    <row r="39" spans="2:6" ht="15.6" x14ac:dyDescent="0.3">
      <c r="B39" s="4" t="s">
        <v>127</v>
      </c>
      <c r="C39" s="2" t="s">
        <v>128</v>
      </c>
      <c r="D39" s="2" t="s">
        <v>129</v>
      </c>
      <c r="E39" s="2"/>
      <c r="F39" s="4" t="s">
        <v>123</v>
      </c>
    </row>
  </sheetData>
  <mergeCells count="6">
    <mergeCell ref="B2:F2"/>
    <mergeCell ref="B20:F20"/>
    <mergeCell ref="B34:F34"/>
    <mergeCell ref="B5:F5"/>
    <mergeCell ref="B14:F14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DASBOARD</vt:lpstr>
      <vt:lpstr>Contract Note Validation</vt:lpstr>
      <vt:lpstr>Per-Trade Breakdown</vt:lpstr>
      <vt:lpstr>Stress Tests</vt:lpstr>
      <vt:lpstr>Impact vs Order Size</vt:lpstr>
      <vt:lpstr>Impact Cross-Stock</vt:lpstr>
      <vt:lpstr>Rate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Dhairya Shah</cp:lastModifiedBy>
  <dcterms:created xsi:type="dcterms:W3CDTF">2026-05-19T07:09:22Z</dcterms:created>
  <dcterms:modified xsi:type="dcterms:W3CDTF">2026-05-19T07:51:22Z</dcterms:modified>
</cp:coreProperties>
</file>